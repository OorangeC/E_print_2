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CC1D" lockStructure="1"/>
  <bookViews>
    <workbookView windowWidth="20752" windowHeight="10455"/>
  </bookViews>
  <sheets>
    <sheet name="印刷工程单" sheetId="1" r:id="rId1"/>
    <sheet name="外发跟进限时表" sheetId="3" r:id="rId2"/>
  </sheets>
  <definedNames>
    <definedName name="_xlnm._FilterDatabase" localSheetId="0" hidden="1">印刷工程单!$A$1:$V$11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<sst xmlns="http://schemas.openxmlformats.org/spreadsheetml/2006/main" count="127" uniqueCount="120">
  <si>
    <t>深圳市柏达印刷制品有限公司</t>
  </si>
  <si>
    <t>印刷工程单</t>
  </si>
  <si>
    <t>工单类型：</t>
  </si>
  <si>
    <t>Non FSC</t>
  </si>
  <si>
    <t>材料</t>
  </si>
  <si>
    <t>普通材料</t>
  </si>
  <si>
    <t>产品类型：</t>
  </si>
  <si>
    <t>卡片套装</t>
  </si>
  <si>
    <t>制单时间</t>
  </si>
  <si>
    <t>序号</t>
  </si>
  <si>
    <t>客户</t>
  </si>
  <si>
    <t>PO:</t>
  </si>
  <si>
    <t>成品名称</t>
  </si>
  <si>
    <t>产品规格</t>
  </si>
  <si>
    <t>订单数量（本）</t>
  </si>
  <si>
    <t>出样数（本）</t>
  </si>
  <si>
    <t>超比例（本）</t>
  </si>
  <si>
    <t>本厂放损</t>
  </si>
  <si>
    <t>出样日期</t>
  </si>
  <si>
    <t>出货日期</t>
  </si>
  <si>
    <t>RRD</t>
  </si>
  <si>
    <t>903B23574</t>
  </si>
  <si>
    <t>903B23574-S_AM-绿女巫塔罗牌(美书盒套装)V8</t>
  </si>
  <si>
    <t>127*88</t>
  </si>
  <si>
    <t xml:space="preserve"> </t>
  </si>
  <si>
    <t>部件名称</t>
  </si>
  <si>
    <t>印刷颜色</t>
  </si>
  <si>
    <t>物料名称</t>
  </si>
  <si>
    <t>品牌</t>
  </si>
  <si>
    <t>材料规格</t>
  </si>
  <si>
    <t>FSC</t>
  </si>
  <si>
    <t>开数</t>
  </si>
  <si>
    <t>上机尺寸</t>
  </si>
  <si>
    <t>排版模数</t>
  </si>
  <si>
    <t>印出数</t>
  </si>
  <si>
    <t>印损</t>
  </si>
  <si>
    <t>领料数（张）</t>
  </si>
  <si>
    <t>表面处理</t>
  </si>
  <si>
    <t>印刷
版数</t>
  </si>
  <si>
    <t>生产路径</t>
  </si>
  <si>
    <t>排版方式</t>
  </si>
  <si>
    <t>书盒面纸</t>
  </si>
  <si>
    <t>CYMK/K</t>
  </si>
  <si>
    <t>157G双面铜版纸（A2高光）</t>
  </si>
  <si>
    <t>华夏太阳</t>
  </si>
  <si>
    <t>889*1015</t>
  </si>
  <si>
    <t>436*515</t>
  </si>
  <si>
    <t>单面过哑胶+压凹</t>
  </si>
  <si>
    <t>银信印刷+中庆过哑胶+本厂压凹和啤、包成品</t>
  </si>
  <si>
    <t>一套正版排2模</t>
  </si>
  <si>
    <t>书盒灰板</t>
  </si>
  <si>
    <t>/</t>
  </si>
  <si>
    <t>2.5MM灰板</t>
  </si>
  <si>
    <t>名欧</t>
  </si>
  <si>
    <t>838*1032</t>
  </si>
  <si>
    <t>419*510</t>
  </si>
  <si>
    <t>银信外购回厂+杰梅裱衬纸+本厂啤、包成品</t>
  </si>
  <si>
    <t>盒内裱纸</t>
  </si>
  <si>
    <t>PMS black U+过哑水油/0</t>
  </si>
  <si>
    <t>120G双胶纸</t>
  </si>
  <si>
    <t>金太阳</t>
  </si>
  <si>
    <t>889*1040</t>
  </si>
  <si>
    <t>435*518</t>
  </si>
  <si>
    <t>银信印刷+杰梅裱灰板+回厂啤</t>
  </si>
  <si>
    <t>胶装封面</t>
  </si>
  <si>
    <t>CYMK/0</t>
  </si>
  <si>
    <t>300G白卡纸（单粉卡）</t>
  </si>
  <si>
    <t>889*1132</t>
  </si>
  <si>
    <t>444*565</t>
  </si>
  <si>
    <t>单面过哑胶</t>
  </si>
  <si>
    <r>
      <rPr>
        <sz val="9"/>
        <color rgb="FFFF0000"/>
        <rFont val="宋体"/>
        <charset val="134"/>
      </rPr>
      <t>银信印刷</t>
    </r>
    <r>
      <rPr>
        <sz val="9"/>
        <color rgb="FFFF0000"/>
        <rFont val="Arial"/>
        <charset val="134"/>
      </rPr>
      <t>--</t>
    </r>
    <r>
      <rPr>
        <sz val="9"/>
        <color rgb="FFFF0000"/>
        <rFont val="宋体"/>
        <charset val="134"/>
      </rPr>
      <t>中庆过哑胶--本厂压线+依时胶装</t>
    </r>
  </si>
  <si>
    <t>正反版印刷排双联本，中间留12MM，书口加到105MM</t>
  </si>
  <si>
    <t>胶装内文1-4</t>
  </si>
  <si>
    <t>CYMK/CYMK</t>
  </si>
  <si>
    <t>115G双面铜版纸（A2哑光）</t>
  </si>
  <si>
    <t>889*1145</t>
  </si>
  <si>
    <t>885*570</t>
  </si>
  <si>
    <r>
      <rPr>
        <sz val="9"/>
        <color rgb="FFFF0000"/>
        <rFont val="宋体"/>
        <charset val="134"/>
      </rPr>
      <t>银信印刷</t>
    </r>
    <r>
      <rPr>
        <sz val="9"/>
        <color rgb="FFFF0000"/>
        <rFont val="Arial"/>
        <charset val="134"/>
      </rPr>
      <t>-</t>
    </r>
    <r>
      <rPr>
        <sz val="9"/>
        <color rgb="FFFF0000"/>
        <rFont val="宋体"/>
        <charset val="134"/>
      </rPr>
      <t>--依时穿线胶装</t>
    </r>
  </si>
  <si>
    <t>4套正反版印刷排8*4=32模（64P）（双联本2*16P)，全书128PP</t>
  </si>
  <si>
    <t>卡片1</t>
  </si>
  <si>
    <t>CYMK+过哑水油/CYMK+过哑水油</t>
  </si>
  <si>
    <t>400G双面铜版卡（高光）</t>
  </si>
  <si>
    <t>965*685</t>
  </si>
  <si>
    <t>银信印刷+本厂冲卡</t>
  </si>
  <si>
    <r>
      <rPr>
        <b/>
        <sz val="12"/>
        <color rgb="FF002060"/>
        <rFont val="Tahoma"/>
        <charset val="134"/>
      </rPr>
      <t>1</t>
    </r>
    <r>
      <rPr>
        <b/>
        <sz val="12"/>
        <color rgb="FF002060"/>
        <rFont val="宋体"/>
        <charset val="134"/>
      </rPr>
      <t>套正反版印刷</t>
    </r>
    <r>
      <rPr>
        <b/>
        <sz val="12"/>
        <color rgb="FF002060"/>
        <rFont val="Tahoma"/>
        <charset val="134"/>
      </rPr>
      <t>10*5=50</t>
    </r>
    <r>
      <rPr>
        <b/>
        <sz val="12"/>
        <color rgb="FF002060"/>
        <rFont val="宋体"/>
        <charset val="134"/>
      </rPr>
      <t>模，卡片</t>
    </r>
    <r>
      <rPr>
        <b/>
        <sz val="12"/>
        <color rgb="FF002060"/>
        <rFont val="Tahoma"/>
        <charset val="134"/>
      </rPr>
      <t>50</t>
    </r>
    <r>
      <rPr>
        <b/>
        <sz val="12"/>
        <color rgb="FF002060"/>
        <rFont val="宋体"/>
        <charset val="134"/>
      </rPr>
      <t>张</t>
    </r>
  </si>
  <si>
    <t>收缩袋</t>
  </si>
  <si>
    <t>机器收缩</t>
  </si>
  <si>
    <t>Fsc
Mix
Credit</t>
  </si>
  <si>
    <t>↓原始工单↓</t>
  </si>
  <si>
    <r>
      <rPr>
        <b/>
        <i/>
        <sz val="9"/>
        <color rgb="FF000000"/>
        <rFont val="宋体"/>
        <charset val="134"/>
      </rPr>
      <t>产品要求：1：印刷颜色必须跟足RRD订单信息表（</t>
    </r>
    <r>
      <rPr>
        <b/>
        <i/>
        <sz val="9"/>
        <color indexed="10"/>
        <rFont val="宋体"/>
        <charset val="134"/>
      </rPr>
      <t>跟色指示</t>
    </r>
    <r>
      <rPr>
        <b/>
        <i/>
        <sz val="9"/>
        <color rgb="FF000000"/>
        <rFont val="宋体"/>
        <charset val="134"/>
      </rPr>
      <t>）！
         2：成品配件组成：
         3：特别要求说明：</t>
    </r>
  </si>
  <si>
    <t>制单：金文明</t>
  </si>
  <si>
    <t>审核：缪志勇</t>
  </si>
  <si>
    <r>
      <rPr>
        <sz val="11"/>
        <color theme="1"/>
        <rFont val="宋体"/>
        <charset val="134"/>
      </rPr>
      <t>本厂内部工序</t>
    </r>
    <r>
      <rPr>
        <sz val="11"/>
        <color theme="1"/>
        <rFont val="Tahoma"/>
        <charset val="134"/>
      </rPr>
      <t>: 1.</t>
    </r>
    <r>
      <rPr>
        <sz val="11"/>
        <color theme="1"/>
        <rFont val="宋体"/>
        <charset val="134"/>
      </rPr>
      <t>啤天地盒灰板</t>
    </r>
    <r>
      <rPr>
        <sz val="11"/>
        <color theme="1"/>
        <rFont val="Tahoma"/>
        <charset val="134"/>
      </rPr>
      <t xml:space="preserve"> 2.</t>
    </r>
    <r>
      <rPr>
        <sz val="11"/>
        <color theme="1"/>
        <rFont val="宋体"/>
        <charset val="134"/>
      </rPr>
      <t xml:space="preserve">盖面纸裱120克双胶底纸 </t>
    </r>
    <r>
      <rPr>
        <sz val="11"/>
        <color theme="1"/>
        <rFont val="Tahoma"/>
        <charset val="134"/>
      </rPr>
      <t>3.</t>
    </r>
    <r>
      <rPr>
        <sz val="11"/>
        <color theme="1"/>
        <rFont val="宋体"/>
        <charset val="134"/>
      </rPr>
      <t>啤天地盒面纸。4</t>
    </r>
    <r>
      <rPr>
        <sz val="11"/>
        <color theme="1"/>
        <rFont val="Tahoma"/>
        <charset val="134"/>
      </rPr>
      <t>.</t>
    </r>
    <r>
      <rPr>
        <sz val="11"/>
        <color theme="1"/>
        <rFont val="宋体"/>
        <charset val="134"/>
      </rPr>
      <t>天地盒灰板打角</t>
    </r>
    <r>
      <rPr>
        <sz val="11"/>
        <color theme="1"/>
        <rFont val="Tahoma"/>
        <charset val="134"/>
      </rPr>
      <t>.5.</t>
    </r>
    <r>
      <rPr>
        <sz val="11"/>
        <color theme="1"/>
        <rFont val="宋体"/>
        <charset val="134"/>
      </rPr>
      <t>包天地盒面纸</t>
    </r>
    <r>
      <rPr>
        <sz val="11"/>
        <color theme="1"/>
        <rFont val="Tahoma"/>
        <charset val="134"/>
      </rPr>
      <t>.6.</t>
    </r>
    <r>
      <rPr>
        <sz val="11"/>
        <color theme="1"/>
        <rFont val="宋体"/>
        <charset val="134"/>
      </rPr>
      <t>天盒打指甲位</t>
    </r>
    <r>
      <rPr>
        <sz val="11"/>
        <color theme="1"/>
        <rFont val="Tahoma"/>
        <charset val="134"/>
      </rPr>
      <t>.7.</t>
    </r>
    <r>
      <rPr>
        <sz val="11"/>
        <color theme="1"/>
        <rFont val="宋体"/>
        <charset val="134"/>
      </rPr>
      <t>啤封面</t>
    </r>
    <r>
      <rPr>
        <sz val="11"/>
        <color theme="1"/>
        <rFont val="Tahoma"/>
        <charset val="134"/>
      </rPr>
      <t>.8.</t>
    </r>
    <r>
      <rPr>
        <sz val="11"/>
        <color theme="1"/>
        <rFont val="宋体"/>
        <charset val="134"/>
      </rPr>
      <t xml:space="preserve">内文机器折页 </t>
    </r>
    <r>
      <rPr>
        <sz val="11"/>
        <color theme="1"/>
        <rFont val="Tahoma"/>
        <charset val="134"/>
      </rPr>
      <t xml:space="preserve">  9.</t>
    </r>
    <r>
      <rPr>
        <sz val="11"/>
        <color theme="1"/>
        <rFont val="宋体"/>
        <charset val="134"/>
      </rPr>
      <t>外发胶装</t>
    </r>
    <r>
      <rPr>
        <sz val="11"/>
        <color theme="1"/>
        <rFont val="Tahoma"/>
        <charset val="134"/>
      </rPr>
      <t xml:space="preserve"> 10.</t>
    </r>
    <r>
      <rPr>
        <sz val="11"/>
        <color theme="1"/>
        <rFont val="宋体"/>
        <charset val="134"/>
      </rPr>
      <t>手工排卡</t>
    </r>
    <r>
      <rPr>
        <sz val="11"/>
        <color theme="1"/>
        <rFont val="Tahoma"/>
        <charset val="134"/>
      </rPr>
      <t xml:space="preserve"> 11.</t>
    </r>
    <r>
      <rPr>
        <sz val="11"/>
        <color theme="1"/>
        <rFont val="宋体"/>
        <charset val="134"/>
      </rPr>
      <t>组装（天地盒</t>
    </r>
    <r>
      <rPr>
        <sz val="11"/>
        <color theme="1"/>
        <rFont val="Tahoma"/>
        <charset val="134"/>
      </rPr>
      <t>+</t>
    </r>
    <r>
      <rPr>
        <sz val="11"/>
        <color theme="1"/>
        <rFont val="宋体"/>
        <charset val="134"/>
      </rPr>
      <t>卡片</t>
    </r>
    <r>
      <rPr>
        <sz val="11"/>
        <color theme="1"/>
        <rFont val="Tahoma"/>
        <charset val="134"/>
      </rPr>
      <t>+</t>
    </r>
    <r>
      <rPr>
        <sz val="11"/>
        <color theme="1"/>
        <rFont val="宋体"/>
        <charset val="134"/>
      </rPr>
      <t>胶装书）</t>
    </r>
    <r>
      <rPr>
        <sz val="11"/>
        <color theme="1"/>
        <rFont val="Tahoma"/>
        <charset val="134"/>
      </rPr>
      <t>12.</t>
    </r>
    <r>
      <rPr>
        <sz val="11"/>
        <color theme="1"/>
        <rFont val="宋体"/>
        <charset val="134"/>
      </rPr>
      <t>收缩包装。</t>
    </r>
  </si>
  <si>
    <t>外发跟进限时表</t>
  </si>
  <si>
    <t>订单编码</t>
  </si>
  <si>
    <t>产品名称</t>
  </si>
  <si>
    <t>订单数量</t>
  </si>
  <si>
    <t>供应商</t>
  </si>
  <si>
    <t>工艺</t>
  </si>
  <si>
    <t>今天日期</t>
  </si>
  <si>
    <t>需回日期</t>
  </si>
  <si>
    <t>到期提醒</t>
  </si>
  <si>
    <t>彩色印刷</t>
  </si>
  <si>
    <t>单黑印刷</t>
  </si>
  <si>
    <t>光胶</t>
  </si>
  <si>
    <t>哑胶</t>
  </si>
  <si>
    <t>光UV</t>
  </si>
  <si>
    <t>哑UV</t>
  </si>
  <si>
    <t>局部UV</t>
  </si>
  <si>
    <t>无线胶装</t>
  </si>
  <si>
    <t>有线胶装</t>
  </si>
  <si>
    <t>做皮壳</t>
  </si>
  <si>
    <t>折页成品</t>
  </si>
  <si>
    <t>蛇仔圈</t>
  </si>
  <si>
    <r>
      <rPr>
        <b/>
        <i/>
        <sz val="11"/>
        <color rgb="FF002060"/>
        <rFont val="Tahoma"/>
        <charset val="134"/>
      </rPr>
      <t>YO</t>
    </r>
    <r>
      <rPr>
        <b/>
        <i/>
        <sz val="11"/>
        <color rgb="FF002060"/>
        <rFont val="宋体"/>
        <charset val="134"/>
      </rPr>
      <t>圈</t>
    </r>
  </si>
  <si>
    <t>收缩膜</t>
  </si>
  <si>
    <t>烟的仕</t>
  </si>
  <si>
    <t>礼品盒</t>
  </si>
  <si>
    <t>压纹</t>
  </si>
  <si>
    <t>所有物料回厂时间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</si>
</sst>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_ "/>
    <numFmt numFmtId="178" formatCode="0;[Red]0"/>
  </numFmts>
  <fonts count="68">
    <font>
      <sz val="11"/>
      <color theme="1"/>
      <name val="Tahoma"/>
      <charset val="134"/>
    </font>
    <font>
      <b/>
      <sz val="18"/>
      <color theme="0"/>
      <name val="宋体"/>
      <charset val="134"/>
    </font>
    <font>
      <b/>
      <sz val="18"/>
      <color theme="0"/>
      <name val="Tahoma"/>
      <charset val="134"/>
    </font>
    <font>
      <b/>
      <sz val="11"/>
      <color theme="1"/>
      <name val="宋体"/>
      <charset val="134"/>
    </font>
    <font>
      <b/>
      <sz val="11"/>
      <color rgb="FFFF0000"/>
      <name val="Tahoma"/>
      <charset val="134"/>
    </font>
    <font>
      <b/>
      <i/>
      <sz val="11"/>
      <color rgb="FF002060"/>
      <name val="宋体"/>
      <charset val="134"/>
    </font>
    <font>
      <i/>
      <sz val="11"/>
      <color theme="0" tint="-0.0499893185216834"/>
      <name val="Tahoma"/>
      <charset val="134"/>
    </font>
    <font>
      <b/>
      <i/>
      <sz val="11"/>
      <color rgb="FFFF0000"/>
      <name val="宋体"/>
      <charset val="134"/>
    </font>
    <font>
      <b/>
      <i/>
      <sz val="11"/>
      <color rgb="FF002060"/>
      <name val="Tahoma"/>
      <charset val="134"/>
    </font>
    <font>
      <b/>
      <i/>
      <sz val="12"/>
      <color rgb="FFFF0000"/>
      <name val="宋体"/>
      <charset val="134"/>
    </font>
    <font>
      <b/>
      <i/>
      <sz val="12"/>
      <color rgb="FFFF0000"/>
      <name val="Tahoma"/>
      <charset val="134"/>
    </font>
    <font>
      <b/>
      <sz val="22"/>
      <name val="宋体"/>
      <charset val="134"/>
    </font>
    <font>
      <b/>
      <sz val="18"/>
      <name val="宋体"/>
      <charset val="134"/>
    </font>
    <font>
      <sz val="9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color theme="1"/>
      <name val="宋体"/>
      <charset val="134"/>
    </font>
    <font>
      <sz val="8"/>
      <name val="宋体"/>
      <charset val="134"/>
      <scheme val="minor"/>
    </font>
    <font>
      <b/>
      <i/>
      <sz val="9"/>
      <color rgb="FF000000"/>
      <name val="宋体"/>
      <charset val="134"/>
    </font>
    <font>
      <i/>
      <sz val="9"/>
      <color theme="1"/>
      <name val="宋体"/>
      <charset val="134"/>
      <scheme val="minor"/>
    </font>
    <font>
      <b/>
      <sz val="16"/>
      <color theme="1"/>
      <name val="叶根友毛笔行书2.0版"/>
      <charset val="134"/>
    </font>
    <font>
      <b/>
      <sz val="12"/>
      <color theme="1"/>
      <name val="Tahoma"/>
      <charset val="134"/>
    </font>
    <font>
      <sz val="11"/>
      <color theme="1"/>
      <name val="宋体"/>
      <charset val="134"/>
    </font>
    <font>
      <sz val="6"/>
      <name val="宋体"/>
      <charset val="134"/>
      <scheme val="minor"/>
    </font>
    <font>
      <sz val="9"/>
      <name val="宋体"/>
      <charset val="134"/>
    </font>
    <font>
      <sz val="7"/>
      <color theme="1"/>
      <name val="宋体"/>
      <charset val="134"/>
      <scheme val="minor"/>
    </font>
    <font>
      <b/>
      <sz val="10"/>
      <color rgb="FFFF0000"/>
      <name val="宋体"/>
      <charset val="134"/>
    </font>
    <font>
      <b/>
      <sz val="11"/>
      <color rgb="FFFF0000"/>
      <name val="宋体"/>
      <charset val="134"/>
    </font>
    <font>
      <sz val="10"/>
      <color rgb="FFFF0000"/>
      <name val="宋体"/>
      <charset val="134"/>
      <scheme val="minor"/>
    </font>
    <font>
      <i/>
      <sz val="10"/>
      <name val="宋体"/>
      <charset val="134"/>
    </font>
    <font>
      <sz val="9"/>
      <color rgb="FFFF0000"/>
      <name val="宋体"/>
      <charset val="134"/>
    </font>
    <font>
      <b/>
      <sz val="12"/>
      <color rgb="FF002060"/>
      <name val="宋体"/>
      <charset val="134"/>
    </font>
    <font>
      <sz val="8"/>
      <color rgb="FFFF0000"/>
      <name val="宋体"/>
      <charset val="134"/>
      <scheme val="minor"/>
    </font>
    <font>
      <b/>
      <sz val="12"/>
      <color theme="3" tint="-0.499984740745262"/>
      <name val="宋体"/>
      <charset val="134"/>
    </font>
    <font>
      <sz val="9"/>
      <color rgb="FF000000"/>
      <name val="宋体"/>
      <charset val="134"/>
      <scheme val="minor"/>
    </font>
    <font>
      <sz val="11"/>
      <color rgb="FFFF0000"/>
      <name val="宋体"/>
      <charset val="134"/>
    </font>
    <font>
      <b/>
      <sz val="12"/>
      <color rgb="FF002060"/>
      <name val="Tahoma"/>
      <charset val="134"/>
    </font>
    <font>
      <sz val="11"/>
      <color rgb="FFFF0000"/>
      <name val="Arial"/>
      <charset val="134"/>
    </font>
    <font>
      <b/>
      <sz val="14"/>
      <color rgb="FFFF0000"/>
      <name val="宋体"/>
      <charset val="134"/>
    </font>
    <font>
      <sz val="8"/>
      <color rgb="FFFF0000"/>
      <name val="Tahoma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9"/>
      <color rgb="FFFF0000"/>
      <name val="Arial"/>
      <charset val="134"/>
    </font>
    <font>
      <b/>
      <i/>
      <sz val="9"/>
      <color indexed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5" fillId="0" borderId="0" applyFont="0" applyFill="0" applyBorder="0" applyAlignment="0" applyProtection="0">
      <alignment vertical="center"/>
    </xf>
    <xf numFmtId="44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5" fillId="5" borderId="11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2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3" fillId="0" borderId="13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6" borderId="14" applyNumberFormat="0" applyAlignment="0" applyProtection="0">
      <alignment vertical="center"/>
    </xf>
    <xf numFmtId="0" fontId="55" fillId="7" borderId="15" applyNumberFormat="0" applyAlignment="0" applyProtection="0">
      <alignment vertical="center"/>
    </xf>
    <xf numFmtId="0" fontId="56" fillId="7" borderId="14" applyNumberFormat="0" applyAlignment="0" applyProtection="0">
      <alignment vertical="center"/>
    </xf>
    <xf numFmtId="0" fontId="57" fillId="8" borderId="16" applyNumberFormat="0" applyAlignment="0" applyProtection="0">
      <alignment vertical="center"/>
    </xf>
    <xf numFmtId="0" fontId="58" fillId="0" borderId="17" applyNumberFormat="0" applyFill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4" fillId="13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2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4" fillId="33" borderId="0" applyNumberFormat="0" applyBorder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5" fillId="0" borderId="0"/>
  </cellStyleXfs>
  <cellXfs count="1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2" xfId="0" applyFont="1" applyFill="1" applyBorder="1" applyAlignment="1" applyProtection="1">
      <alignment horizontal="center" vertical="center"/>
      <protection hidden="1"/>
    </xf>
    <xf numFmtId="0" fontId="0" fillId="0" borderId="3" xfId="0" applyFont="1" applyFill="1" applyBorder="1" applyAlignment="1" applyProtection="1">
      <alignment horizontal="center" vertical="center"/>
      <protection hidden="1"/>
    </xf>
    <xf numFmtId="0" fontId="4" fillId="0" borderId="3" xfId="0" applyFont="1" applyFill="1" applyBorder="1" applyAlignment="1" applyProtection="1">
      <alignment horizontal="center" vertical="center"/>
      <protection hidden="1"/>
    </xf>
    <xf numFmtId="0" fontId="5" fillId="0" borderId="3" xfId="0" applyFont="1" applyFill="1" applyBorder="1" applyAlignment="1" applyProtection="1">
      <alignment horizontal="center" vertical="center"/>
      <protection hidden="1"/>
    </xf>
    <xf numFmtId="14" fontId="6" fillId="3" borderId="3" xfId="0" applyNumberFormat="1" applyFont="1" applyFill="1" applyBorder="1" applyAlignment="1" applyProtection="1">
      <alignment horizontal="center" vertical="center"/>
      <protection hidden="1"/>
    </xf>
    <xf numFmtId="14" fontId="0" fillId="0" borderId="3" xfId="0" applyNumberFormat="1" applyFont="1" applyFill="1" applyBorder="1" applyAlignment="1" applyProtection="1">
      <alignment horizontal="center" vertical="center"/>
      <protection hidden="1"/>
    </xf>
    <xf numFmtId="0" fontId="7" fillId="0" borderId="4" xfId="0" applyFont="1" applyFill="1" applyBorder="1" applyAlignment="1" applyProtection="1">
      <alignment horizontal="center" vertical="center"/>
      <protection hidden="1"/>
    </xf>
    <xf numFmtId="0" fontId="8" fillId="0" borderId="3" xfId="0" applyFont="1" applyFill="1" applyBorder="1" applyAlignment="1" applyProtection="1">
      <alignment horizontal="center" vertical="center"/>
      <protection hidden="1"/>
    </xf>
    <xf numFmtId="0" fontId="5" fillId="0" borderId="3" xfId="0" applyFont="1" applyFill="1" applyBorder="1" applyAlignment="1" applyProtection="1">
      <alignment vertical="center"/>
      <protection hidden="1"/>
    </xf>
    <xf numFmtId="0" fontId="9" fillId="0" borderId="3" xfId="0" applyFont="1" applyFill="1" applyBorder="1" applyAlignment="1" applyProtection="1">
      <alignment horizontal="center" vertical="center"/>
      <protection hidden="1"/>
    </xf>
    <xf numFmtId="0" fontId="10" fillId="0" borderId="3" xfId="0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11" fillId="0" borderId="0" xfId="49" applyFont="1" applyFill="1" applyBorder="1" applyAlignment="1" applyProtection="1">
      <alignment horizontal="center" vertical="center"/>
      <protection locked="0"/>
    </xf>
    <xf numFmtId="0" fontId="12" fillId="0" borderId="5" xfId="49" applyFont="1" applyFill="1" applyBorder="1" applyAlignment="1" applyProtection="1">
      <alignment horizontal="center" vertical="center"/>
      <protection locked="0"/>
    </xf>
    <xf numFmtId="0" fontId="13" fillId="0" borderId="6" xfId="49" applyFont="1" applyFill="1" applyBorder="1" applyAlignment="1" applyProtection="1">
      <alignment horizontal="center" vertical="center"/>
      <protection locked="0"/>
    </xf>
    <xf numFmtId="0" fontId="13" fillId="0" borderId="7" xfId="49" applyFont="1" applyFill="1" applyBorder="1" applyAlignment="1" applyProtection="1">
      <alignment horizontal="center" vertical="center"/>
      <protection locked="0"/>
    </xf>
    <xf numFmtId="0" fontId="13" fillId="0" borderId="5" xfId="49" applyFont="1" applyFill="1" applyBorder="1" applyAlignment="1" applyProtection="1">
      <alignment horizontal="center" vertical="center"/>
      <protection locked="0"/>
    </xf>
    <xf numFmtId="0" fontId="13" fillId="4" borderId="5" xfId="49" applyFont="1" applyFill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15" fillId="0" borderId="5" xfId="0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0" fontId="15" fillId="0" borderId="5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4" fillId="0" borderId="8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/>
      <protection locked="0"/>
    </xf>
    <xf numFmtId="0" fontId="17" fillId="0" borderId="6" xfId="0" applyFont="1" applyFill="1" applyBorder="1" applyAlignment="1" applyProtection="1">
      <alignment horizontal="center" vertical="center" wrapText="1"/>
      <protection locked="0"/>
    </xf>
    <xf numFmtId="0" fontId="17" fillId="0" borderId="7" xfId="0" applyFont="1" applyFill="1" applyBorder="1" applyAlignment="1" applyProtection="1">
      <alignment horizontal="center" vertical="center" wrapText="1"/>
      <protection locked="0"/>
    </xf>
    <xf numFmtId="0" fontId="14" fillId="0" borderId="8" xfId="0" applyFont="1" applyFill="1" applyBorder="1" applyAlignment="1" applyProtection="1">
      <alignment horizontal="center" vertical="center" wrapText="1"/>
      <protection locked="0"/>
    </xf>
    <xf numFmtId="0" fontId="13" fillId="4" borderId="5" xfId="0" applyFont="1" applyFill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5" xfId="0" applyFont="1" applyFill="1" applyBorder="1" applyAlignment="1" applyProtection="1">
      <alignment horizontal="center" vertical="center" wrapText="1"/>
      <protection locked="0"/>
    </xf>
    <xf numFmtId="0" fontId="14" fillId="0" borderId="5" xfId="0" applyFont="1" applyFill="1" applyBorder="1" applyAlignment="1" applyProtection="1">
      <alignment horizontal="center" vertical="center" wrapText="1"/>
      <protection locked="0"/>
    </xf>
    <xf numFmtId="0" fontId="13" fillId="0" borderId="5" xfId="0" applyFont="1" applyFill="1" applyBorder="1" applyAlignment="1" applyProtection="1">
      <alignment horizontal="center" vertical="center"/>
      <protection locked="0"/>
    </xf>
    <xf numFmtId="0" fontId="18" fillId="0" borderId="5" xfId="0" applyFont="1" applyBorder="1" applyAlignment="1" applyProtection="1">
      <alignment horizontal="center" vertical="center" wrapText="1"/>
      <protection locked="0"/>
    </xf>
    <xf numFmtId="0" fontId="19" fillId="0" borderId="5" xfId="0" applyFont="1" applyBorder="1" applyAlignment="1" applyProtection="1">
      <alignment horizontal="center" vertical="center"/>
      <protection locked="0"/>
    </xf>
    <xf numFmtId="0" fontId="18" fillId="0" borderId="5" xfId="0" applyFont="1" applyFill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20" fillId="0" borderId="6" xfId="0" applyFont="1" applyBorder="1" applyAlignment="1" applyProtection="1">
      <alignment horizontal="center" vertical="center" wrapText="1"/>
      <protection locked="0"/>
    </xf>
    <xf numFmtId="0" fontId="20" fillId="0" borderId="7" xfId="0" applyFont="1" applyBorder="1" applyAlignment="1" applyProtection="1">
      <alignment horizontal="center" vertical="center" wrapText="1"/>
      <protection locked="0"/>
    </xf>
    <xf numFmtId="0" fontId="20" fillId="0" borderId="5" xfId="0" applyFont="1" applyBorder="1" applyAlignment="1" applyProtection="1">
      <alignment vertical="center" wrapText="1"/>
      <protection locked="0"/>
    </xf>
    <xf numFmtId="0" fontId="20" fillId="0" borderId="5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left" vertical="top" wrapText="1"/>
      <protection locked="0"/>
    </xf>
    <xf numFmtId="0" fontId="23" fillId="0" borderId="7" xfId="0" applyFont="1" applyBorder="1" applyAlignment="1" applyProtection="1">
      <alignment horizontal="left" vertical="top"/>
      <protection locked="0"/>
    </xf>
    <xf numFmtId="0" fontId="24" fillId="0" borderId="0" xfId="0" applyFont="1" applyAlignment="1" applyProtection="1">
      <alignment wrapText="1"/>
      <protection locked="0"/>
    </xf>
    <xf numFmtId="0" fontId="24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13" fillId="0" borderId="8" xfId="49" applyFont="1" applyFill="1" applyBorder="1" applyAlignment="1" applyProtection="1">
      <alignment horizontal="center" vertical="center"/>
      <protection locked="0"/>
    </xf>
    <xf numFmtId="176" fontId="14" fillId="0" borderId="7" xfId="0" applyNumberFormat="1" applyFont="1" applyBorder="1" applyAlignment="1" applyProtection="1">
      <alignment horizontal="center" vertical="center"/>
      <protection locked="0"/>
    </xf>
    <xf numFmtId="0" fontId="16" fillId="0" borderId="5" xfId="0" applyFont="1" applyBorder="1" applyAlignment="1" applyProtection="1">
      <alignment vertical="center" wrapText="1"/>
      <protection locked="0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14" fontId="18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5" xfId="0" applyFont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177" fontId="21" fillId="0" borderId="5" xfId="0" applyNumberFormat="1" applyFont="1" applyBorder="1" applyAlignment="1" applyProtection="1">
      <alignment horizontal="center" vertical="center" wrapText="1"/>
      <protection hidden="1"/>
    </xf>
    <xf numFmtId="177" fontId="21" fillId="0" borderId="5" xfId="0" applyNumberFormat="1" applyFont="1" applyBorder="1" applyAlignment="1" applyProtection="1">
      <alignment horizontal="center" vertical="center" wrapText="1"/>
      <protection locked="0"/>
    </xf>
    <xf numFmtId="0" fontId="28" fillId="0" borderId="5" xfId="0" applyFont="1" applyBorder="1" applyAlignment="1" applyProtection="1">
      <alignment horizontal="center" vertical="center"/>
      <protection locked="0"/>
    </xf>
    <xf numFmtId="0" fontId="27" fillId="0" borderId="5" xfId="0" applyFont="1" applyFill="1" applyBorder="1" applyAlignment="1" applyProtection="1">
      <alignment horizontal="center" vertical="center" wrapText="1"/>
      <protection locked="0"/>
    </xf>
    <xf numFmtId="0" fontId="28" fillId="0" borderId="5" xfId="0" applyFont="1" applyFill="1" applyBorder="1" applyAlignment="1" applyProtection="1">
      <alignment horizontal="center" vertical="center"/>
      <protection locked="0"/>
    </xf>
    <xf numFmtId="177" fontId="21" fillId="4" borderId="5" xfId="0" applyNumberFormat="1" applyFont="1" applyFill="1" applyBorder="1" applyAlignment="1" applyProtection="1">
      <alignment horizontal="center" vertical="center" wrapText="1"/>
      <protection hidden="1"/>
    </xf>
    <xf numFmtId="177" fontId="21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5" xfId="0" applyFont="1" applyFill="1" applyBorder="1" applyAlignment="1">
      <alignment horizontal="center" vertical="center"/>
    </xf>
    <xf numFmtId="177" fontId="21" fillId="0" borderId="5" xfId="0" applyNumberFormat="1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176" fontId="14" fillId="0" borderId="8" xfId="0" applyNumberFormat="1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8" fillId="0" borderId="8" xfId="0" applyFont="1" applyFill="1" applyBorder="1" applyAlignment="1" applyProtection="1">
      <alignment horizontal="center" vertical="center" wrapText="1"/>
      <protection locked="0"/>
    </xf>
    <xf numFmtId="0" fontId="29" fillId="0" borderId="5" xfId="0" applyFont="1" applyBorder="1" applyAlignment="1" applyProtection="1">
      <alignment horizontal="center" vertical="center" wrapText="1"/>
      <protection locked="0"/>
    </xf>
    <xf numFmtId="0" fontId="30" fillId="0" borderId="5" xfId="0" applyFont="1" applyBorder="1" applyAlignment="1" applyProtection="1">
      <alignment horizontal="center" vertical="center" wrapText="1"/>
      <protection locked="0"/>
    </xf>
    <xf numFmtId="0" fontId="31" fillId="0" borderId="0" xfId="0" applyFont="1" applyAlignment="1">
      <alignment horizontal="center" vertical="center"/>
    </xf>
    <xf numFmtId="178" fontId="21" fillId="0" borderId="5" xfId="0" applyNumberFormat="1" applyFont="1" applyBorder="1" applyAlignment="1" applyProtection="1">
      <alignment horizontal="center" vertical="center"/>
      <protection hidden="1"/>
    </xf>
    <xf numFmtId="0" fontId="32" fillId="0" borderId="6" xfId="0" applyFont="1" applyBorder="1" applyAlignment="1" applyProtection="1">
      <alignment horizontal="center" vertical="center" wrapText="1"/>
      <protection locked="0"/>
    </xf>
    <xf numFmtId="0" fontId="32" fillId="0" borderId="8" xfId="0" applyFont="1" applyBorder="1" applyAlignment="1" applyProtection="1">
      <alignment horizontal="center" vertical="center" wrapText="1"/>
      <protection locked="0"/>
    </xf>
    <xf numFmtId="0" fontId="33" fillId="0" borderId="5" xfId="0" applyFont="1" applyBorder="1" applyAlignment="1" applyProtection="1">
      <alignment horizontal="center" vertical="center" wrapText="1"/>
      <protection locked="0"/>
    </xf>
    <xf numFmtId="0" fontId="34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178" fontId="21" fillId="0" borderId="5" xfId="0" applyNumberFormat="1" applyFont="1" applyFill="1" applyBorder="1" applyAlignment="1" applyProtection="1">
      <alignment horizontal="center" vertical="center"/>
      <protection hidden="1"/>
    </xf>
    <xf numFmtId="0" fontId="36" fillId="0" borderId="6" xfId="0" applyFont="1" applyFill="1" applyBorder="1" applyAlignment="1" applyProtection="1">
      <alignment horizontal="center" vertical="center" wrapText="1"/>
      <protection locked="0"/>
    </xf>
    <xf numFmtId="0" fontId="36" fillId="0" borderId="8" xfId="0" applyFont="1" applyFill="1" applyBorder="1" applyAlignment="1" applyProtection="1">
      <alignment horizontal="center" vertical="center" wrapText="1"/>
      <protection locked="0"/>
    </xf>
    <xf numFmtId="0" fontId="33" fillId="0" borderId="5" xfId="0" applyFont="1" applyFill="1" applyBorder="1" applyAlignment="1" applyProtection="1">
      <alignment horizontal="center" vertical="center" wrapText="1"/>
      <protection locked="0"/>
    </xf>
    <xf numFmtId="0" fontId="34" fillId="0" borderId="0" xfId="0" applyFont="1" applyFill="1" applyBorder="1" applyAlignment="1">
      <alignment horizontal="center" vertical="center" wrapText="1"/>
    </xf>
    <xf numFmtId="0" fontId="37" fillId="0" borderId="0" xfId="0" applyFont="1" applyFill="1" applyBorder="1" applyAlignment="1">
      <alignment horizontal="left" vertical="center"/>
    </xf>
    <xf numFmtId="0" fontId="38" fillId="0" borderId="5" xfId="0" applyFont="1" applyFill="1" applyBorder="1" applyAlignment="1" applyProtection="1">
      <alignment horizontal="center" vertical="center" wrapText="1"/>
      <protection locked="0"/>
    </xf>
    <xf numFmtId="0" fontId="37" fillId="0" borderId="0" xfId="0" applyFont="1" applyFill="1" applyBorder="1" applyAlignment="1">
      <alignment horizontal="left" vertical="center" wrapText="1"/>
    </xf>
    <xf numFmtId="0" fontId="36" fillId="0" borderId="9" xfId="0" applyFont="1" applyBorder="1" applyAlignment="1" applyProtection="1">
      <alignment horizontal="center" vertical="center" wrapText="1"/>
      <protection locked="0"/>
    </xf>
    <xf numFmtId="0" fontId="36" fillId="0" borderId="10" xfId="0" applyFont="1" applyBorder="1" applyAlignment="1" applyProtection="1">
      <alignment horizontal="center" vertical="center" wrapText="1"/>
      <protection locked="0"/>
    </xf>
    <xf numFmtId="0" fontId="39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36" fillId="0" borderId="6" xfId="0" applyFont="1" applyBorder="1" applyAlignment="1" applyProtection="1">
      <alignment horizontal="center" vertical="center" wrapText="1"/>
      <protection locked="0"/>
    </xf>
    <xf numFmtId="0" fontId="36" fillId="0" borderId="8" xfId="0" applyFont="1" applyBorder="1" applyAlignment="1" applyProtection="1">
      <alignment horizontal="center" vertical="center" wrapText="1"/>
      <protection locked="0"/>
    </xf>
    <xf numFmtId="0" fontId="35" fillId="0" borderId="0" xfId="0" applyFont="1" applyFill="1" applyAlignment="1">
      <alignment horizontal="center" vertical="center"/>
    </xf>
    <xf numFmtId="0" fontId="36" fillId="0" borderId="5" xfId="0" applyFont="1" applyBorder="1" applyAlignment="1" applyProtection="1">
      <alignment horizontal="center" vertical="center" wrapText="1"/>
      <protection locked="0"/>
    </xf>
    <xf numFmtId="0" fontId="41" fillId="0" borderId="0" xfId="0" applyFont="1" applyFill="1" applyBorder="1" applyAlignment="1">
      <alignment horizontal="center" vertical="center" wrapText="1"/>
    </xf>
    <xf numFmtId="0" fontId="42" fillId="0" borderId="0" xfId="0" applyFont="1" applyFill="1" applyBorder="1" applyAlignment="1">
      <alignment horizontal="center" vertical="center" wrapText="1"/>
    </xf>
    <xf numFmtId="0" fontId="23" fillId="0" borderId="8" xfId="0" applyFont="1" applyBorder="1" applyAlignment="1" applyProtection="1">
      <alignment horizontal="left" vertical="top"/>
      <protection locked="0"/>
    </xf>
    <xf numFmtId="0" fontId="43" fillId="0" borderId="5" xfId="0" applyFont="1" applyBorder="1" applyAlignment="1" applyProtection="1">
      <alignment horizontal="center" vertical="center"/>
      <protection locked="0"/>
    </xf>
    <xf numFmtId="0" fontId="4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44" fillId="0" borderId="0" xfId="0" applyFont="1" applyBorder="1" applyAlignment="1">
      <alignment vertical="center"/>
    </xf>
    <xf numFmtId="0" fontId="45" fillId="0" borderId="0" xfId="0" applyFont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b val="1"/>
        <i val="1"/>
        <strike val="1"/>
        <color rgb="FFFF0000"/>
      </font>
    </dxf>
  </dxfs>
  <tableStyles count="0" defaultTableStyle="TableStyleMedium9" defaultPivotStyle="PivotStyleLight16"/>
  <colors>
    <mruColors>
      <color rgb="0016365C"/>
      <color rgb="00FFFFFF"/>
      <color rgb="00C0504D"/>
      <color rgb="00F2F2F2"/>
      <color rgb="00808080"/>
      <color rgb="00002060"/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381000</xdr:colOff>
          <xdr:row>16</xdr:row>
          <xdr:rowOff>6985</xdr:rowOff>
        </xdr:from>
        <xdr:to>
          <xdr:col>21</xdr:col>
          <xdr:colOff>1304925</xdr:colOff>
          <xdr:row>18</xdr:row>
          <xdr:rowOff>6985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0839450" y="570230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1323975</xdr:colOff>
          <xdr:row>16</xdr:row>
          <xdr:rowOff>6985</xdr:rowOff>
        </xdr:from>
        <xdr:to>
          <xdr:col>21</xdr:col>
          <xdr:colOff>2247900</xdr:colOff>
          <xdr:row>18</xdr:row>
          <xdr:rowOff>6985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11782425" y="570230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2257425</xdr:colOff>
          <xdr:row>15</xdr:row>
          <xdr:rowOff>352425</xdr:rowOff>
        </xdr:from>
        <xdr:to>
          <xdr:col>21</xdr:col>
          <xdr:colOff>3181350</xdr:colOff>
          <xdr:row>17</xdr:row>
          <xdr:rowOff>378460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2715875" y="569277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E60"/>
  <sheetViews>
    <sheetView tabSelected="1" topLeftCell="B1" workbookViewId="0">
      <selection activeCell="O10" sqref="O10"/>
    </sheetView>
  </sheetViews>
  <sheetFormatPr defaultColWidth="9" defaultRowHeight="13.5"/>
  <cols>
    <col min="1" max="1" width="4.125" customWidth="1"/>
    <col min="2" max="2" width="7.625" customWidth="1"/>
    <col min="3" max="3" width="11.5" customWidth="1"/>
    <col min="4" max="5" width="4.625" customWidth="1"/>
    <col min="6" max="6" width="5.375" customWidth="1"/>
    <col min="7" max="7" width="4.75" customWidth="1"/>
    <col min="8" max="8" width="3.625" customWidth="1"/>
    <col min="9" max="9" width="5.625" customWidth="1"/>
    <col min="10" max="10" width="4.875" customWidth="1"/>
    <col min="11" max="11" width="4.5" customWidth="1"/>
    <col min="12" max="12" width="6.25" customWidth="1"/>
    <col min="13" max="13" width="4.375" customWidth="1"/>
    <col min="14" max="14" width="4.75" customWidth="1"/>
    <col min="15" max="16" width="7.125" customWidth="1"/>
    <col min="17" max="17" width="6.375" customWidth="1"/>
    <col min="18" max="18" width="4.25" customWidth="1"/>
    <col min="19" max="19" width="6.25" customWidth="1"/>
    <col min="20" max="20" width="5" style="17" customWidth="1"/>
    <col min="21" max="21" width="24.5" style="17" customWidth="1"/>
    <col min="22" max="22" width="46.5" style="17" customWidth="1"/>
    <col min="23" max="23" width="12.5" customWidth="1"/>
  </cols>
  <sheetData>
    <row r="1" ht="27.75" spans="1:20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76"/>
    </row>
    <row r="2" ht="26.25" customHeight="1" spans="1:20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76"/>
    </row>
    <row r="3" ht="27" customHeight="1" spans="1:31">
      <c r="A3" s="20" t="s">
        <v>2</v>
      </c>
      <c r="B3" s="21"/>
      <c r="C3" s="22" t="s">
        <v>3</v>
      </c>
      <c r="D3" s="21" t="s">
        <v>4</v>
      </c>
      <c r="E3" s="23" t="s">
        <v>5</v>
      </c>
      <c r="F3" s="23"/>
      <c r="G3" s="22" t="s">
        <v>6</v>
      </c>
      <c r="H3" s="22"/>
      <c r="I3" s="20" t="s">
        <v>7</v>
      </c>
      <c r="J3" s="21"/>
      <c r="K3" s="21"/>
      <c r="L3" s="58"/>
      <c r="M3" s="26" t="s">
        <v>8</v>
      </c>
      <c r="N3" s="26"/>
      <c r="O3" s="59">
        <v>45960</v>
      </c>
      <c r="P3" s="59"/>
      <c r="Q3" s="59"/>
      <c r="R3" s="59"/>
      <c r="S3" s="77"/>
      <c r="T3" s="76"/>
      <c r="AA3" s="112"/>
      <c r="AB3" s="112"/>
      <c r="AC3" s="112"/>
      <c r="AD3" s="112"/>
      <c r="AE3" s="112"/>
    </row>
    <row r="4" ht="23.25" customHeight="1" spans="1:31">
      <c r="A4" s="24" t="s">
        <v>9</v>
      </c>
      <c r="B4" s="24" t="s">
        <v>10</v>
      </c>
      <c r="C4" s="25" t="s">
        <v>11</v>
      </c>
      <c r="D4" s="26" t="s">
        <v>12</v>
      </c>
      <c r="E4" s="26"/>
      <c r="F4" s="26"/>
      <c r="G4" s="26"/>
      <c r="H4" s="26" t="s">
        <v>13</v>
      </c>
      <c r="I4" s="26"/>
      <c r="J4" s="26"/>
      <c r="K4" s="26"/>
      <c r="L4" s="45" t="s">
        <v>14</v>
      </c>
      <c r="M4" s="45" t="s">
        <v>15</v>
      </c>
      <c r="N4" s="60" t="s">
        <v>16</v>
      </c>
      <c r="O4" s="26" t="s">
        <v>17</v>
      </c>
      <c r="P4" s="24" t="s">
        <v>18</v>
      </c>
      <c r="Q4" s="78"/>
      <c r="R4" s="26" t="s">
        <v>19</v>
      </c>
      <c r="S4" s="26"/>
      <c r="T4" s="76"/>
      <c r="AA4" s="113"/>
      <c r="AB4" s="113"/>
      <c r="AC4" s="113"/>
      <c r="AD4" s="113"/>
      <c r="AE4" s="113"/>
    </row>
    <row r="5" ht="36" customHeight="1" spans="1:22">
      <c r="A5" s="26">
        <v>1</v>
      </c>
      <c r="B5" s="27" t="s">
        <v>20</v>
      </c>
      <c r="C5" s="28" t="s">
        <v>21</v>
      </c>
      <c r="D5" s="29" t="s">
        <v>22</v>
      </c>
      <c r="E5" s="29"/>
      <c r="F5" s="29"/>
      <c r="G5" s="30"/>
      <c r="H5" s="31" t="s">
        <v>23</v>
      </c>
      <c r="I5" s="61"/>
      <c r="J5" s="61"/>
      <c r="K5" s="62"/>
      <c r="L5" s="26">
        <v>30000</v>
      </c>
      <c r="M5" s="32">
        <v>1</v>
      </c>
      <c r="N5" s="26">
        <v>1500</v>
      </c>
      <c r="O5" s="40">
        <v>1000</v>
      </c>
      <c r="P5" s="63">
        <v>45639</v>
      </c>
      <c r="Q5" s="79"/>
      <c r="R5" s="63">
        <v>45644</v>
      </c>
      <c r="S5" s="79"/>
      <c r="T5" s="76"/>
      <c r="V5" s="17" t="s">
        <v>24</v>
      </c>
    </row>
    <row r="6" ht="25.5" spans="1:22">
      <c r="A6" s="26" t="s">
        <v>9</v>
      </c>
      <c r="B6" s="32" t="s">
        <v>25</v>
      </c>
      <c r="C6" s="26" t="s">
        <v>26</v>
      </c>
      <c r="D6" s="26" t="s">
        <v>27</v>
      </c>
      <c r="E6" s="26"/>
      <c r="F6" s="26"/>
      <c r="G6" s="26" t="s">
        <v>28</v>
      </c>
      <c r="H6" s="26" t="s">
        <v>29</v>
      </c>
      <c r="I6" s="26"/>
      <c r="J6" s="26" t="s">
        <v>30</v>
      </c>
      <c r="K6" s="26" t="s">
        <v>31</v>
      </c>
      <c r="L6" s="26" t="s">
        <v>32</v>
      </c>
      <c r="M6" s="26"/>
      <c r="N6" s="32" t="s">
        <v>33</v>
      </c>
      <c r="O6" s="45" t="s">
        <v>34</v>
      </c>
      <c r="P6" s="45" t="s">
        <v>35</v>
      </c>
      <c r="Q6" s="80" t="s">
        <v>36</v>
      </c>
      <c r="R6" s="26" t="s">
        <v>37</v>
      </c>
      <c r="S6" s="26"/>
      <c r="T6" s="81" t="s">
        <v>38</v>
      </c>
      <c r="U6" s="82" t="s">
        <v>39</v>
      </c>
      <c r="V6" s="82" t="s">
        <v>40</v>
      </c>
    </row>
    <row r="7" ht="30" customHeight="1" spans="1:22">
      <c r="A7" s="33">
        <f t="shared" ref="A7:A16" si="0">ROW()-6</f>
        <v>1</v>
      </c>
      <c r="B7" s="32" t="s">
        <v>41</v>
      </c>
      <c r="C7" s="32" t="s">
        <v>42</v>
      </c>
      <c r="D7" s="34" t="s">
        <v>43</v>
      </c>
      <c r="E7" s="35"/>
      <c r="F7" s="36"/>
      <c r="G7" s="32" t="s">
        <v>44</v>
      </c>
      <c r="H7" s="37" t="s">
        <v>45</v>
      </c>
      <c r="I7" s="37"/>
      <c r="J7" s="64"/>
      <c r="K7" s="65">
        <v>4</v>
      </c>
      <c r="L7" s="37" t="s">
        <v>46</v>
      </c>
      <c r="M7" s="37"/>
      <c r="N7" s="65">
        <v>2</v>
      </c>
      <c r="O7" s="66">
        <f>(L5+M5+N5+O5)/N7+200</f>
        <v>16450.5</v>
      </c>
      <c r="P7" s="67">
        <v>400</v>
      </c>
      <c r="Q7" s="83">
        <f t="shared" ref="Q7:Q16" si="1">(O7+P7)/K7*T7</f>
        <v>4212.625</v>
      </c>
      <c r="R7" s="84" t="s">
        <v>47</v>
      </c>
      <c r="S7" s="85"/>
      <c r="T7" s="86">
        <v>1</v>
      </c>
      <c r="U7" s="87" t="s">
        <v>48</v>
      </c>
      <c r="V7" s="88" t="s">
        <v>49</v>
      </c>
    </row>
    <row r="8" ht="29.1" customHeight="1" spans="1:23">
      <c r="A8" s="33">
        <f t="shared" si="0"/>
        <v>2</v>
      </c>
      <c r="B8" s="32" t="s">
        <v>50</v>
      </c>
      <c r="C8" s="32" t="s">
        <v>51</v>
      </c>
      <c r="D8" s="34" t="s">
        <v>52</v>
      </c>
      <c r="E8" s="35"/>
      <c r="F8" s="36"/>
      <c r="G8" s="32" t="s">
        <v>53</v>
      </c>
      <c r="H8" s="38" t="s">
        <v>54</v>
      </c>
      <c r="I8" s="38"/>
      <c r="J8" s="64"/>
      <c r="K8" s="65">
        <v>4</v>
      </c>
      <c r="L8" s="68" t="s">
        <v>55</v>
      </c>
      <c r="M8" s="65"/>
      <c r="N8" s="65">
        <v>3</v>
      </c>
      <c r="O8" s="66">
        <f>(L5+M5+N5+O5)/N8</f>
        <v>10833.6666666667</v>
      </c>
      <c r="P8" s="67"/>
      <c r="Q8" s="83">
        <f t="shared" si="1"/>
        <v>2708.41666666668</v>
      </c>
      <c r="R8" s="84"/>
      <c r="S8" s="85"/>
      <c r="T8" s="86">
        <v>1</v>
      </c>
      <c r="U8" s="87" t="s">
        <v>56</v>
      </c>
      <c r="V8" s="88"/>
      <c r="W8" s="89"/>
    </row>
    <row r="9" ht="27.95" customHeight="1" spans="1:22">
      <c r="A9" s="33">
        <f t="shared" si="0"/>
        <v>3</v>
      </c>
      <c r="B9" s="32" t="s">
        <v>57</v>
      </c>
      <c r="C9" s="32" t="s">
        <v>58</v>
      </c>
      <c r="D9" s="34" t="s">
        <v>59</v>
      </c>
      <c r="E9" s="35"/>
      <c r="F9" s="36"/>
      <c r="G9" s="32" t="s">
        <v>60</v>
      </c>
      <c r="H9" s="38" t="s">
        <v>61</v>
      </c>
      <c r="I9" s="38"/>
      <c r="J9" s="64"/>
      <c r="K9" s="65">
        <v>4</v>
      </c>
      <c r="L9" s="68" t="s">
        <v>62</v>
      </c>
      <c r="M9" s="65"/>
      <c r="N9" s="65">
        <v>3</v>
      </c>
      <c r="O9" s="66">
        <f>(L5+M5+N5+O5)/N9+200</f>
        <v>11033.6666666667</v>
      </c>
      <c r="P9" s="67">
        <v>250</v>
      </c>
      <c r="Q9" s="83">
        <f t="shared" si="1"/>
        <v>2820.91666666668</v>
      </c>
      <c r="R9" s="84"/>
      <c r="S9" s="85"/>
      <c r="T9" s="86">
        <v>1</v>
      </c>
      <c r="U9" s="87" t="s">
        <v>63</v>
      </c>
      <c r="V9" s="88"/>
    </row>
    <row r="10" ht="27.95" customHeight="1" spans="1:22">
      <c r="A10" s="33">
        <f t="shared" si="0"/>
        <v>4</v>
      </c>
      <c r="B10" s="39" t="s">
        <v>64</v>
      </c>
      <c r="C10" s="40" t="s">
        <v>65</v>
      </c>
      <c r="D10" s="34" t="s">
        <v>66</v>
      </c>
      <c r="E10" s="35"/>
      <c r="F10" s="36"/>
      <c r="G10" s="40" t="s">
        <v>44</v>
      </c>
      <c r="H10" s="39" t="s">
        <v>67</v>
      </c>
      <c r="I10" s="39"/>
      <c r="J10" s="69"/>
      <c r="K10" s="41">
        <v>4</v>
      </c>
      <c r="L10" s="70" t="s">
        <v>68</v>
      </c>
      <c r="M10" s="41"/>
      <c r="N10" s="41">
        <v>8</v>
      </c>
      <c r="O10" s="71">
        <f>(L5+M5+N5+O5)/N10+30</f>
        <v>4092.625</v>
      </c>
      <c r="P10" s="72">
        <v>200</v>
      </c>
      <c r="Q10" s="90">
        <f t="shared" si="1"/>
        <v>1073.15625</v>
      </c>
      <c r="R10" s="91" t="s">
        <v>69</v>
      </c>
      <c r="S10" s="92"/>
      <c r="T10" s="93">
        <v>1</v>
      </c>
      <c r="U10" s="94" t="s">
        <v>70</v>
      </c>
      <c r="V10" s="95" t="s">
        <v>71</v>
      </c>
    </row>
    <row r="11" ht="27.95" customHeight="1" spans="1:22">
      <c r="A11" s="33">
        <f t="shared" si="0"/>
        <v>5</v>
      </c>
      <c r="B11" s="39" t="s">
        <v>72</v>
      </c>
      <c r="C11" s="40" t="s">
        <v>73</v>
      </c>
      <c r="D11" s="34" t="s">
        <v>74</v>
      </c>
      <c r="E11" s="35"/>
      <c r="F11" s="36"/>
      <c r="G11" s="40" t="s">
        <v>44</v>
      </c>
      <c r="H11" s="41" t="s">
        <v>75</v>
      </c>
      <c r="I11" s="41"/>
      <c r="J11" s="69"/>
      <c r="K11" s="41">
        <v>2</v>
      </c>
      <c r="L11" s="70" t="s">
        <v>76</v>
      </c>
      <c r="M11" s="41"/>
      <c r="N11" s="73">
        <v>2</v>
      </c>
      <c r="O11" s="74">
        <f>(L5+M5+N5+O5)/N11</f>
        <v>16250.5</v>
      </c>
      <c r="P11" s="72">
        <v>400</v>
      </c>
      <c r="Q11" s="90">
        <f t="shared" si="1"/>
        <v>33301</v>
      </c>
      <c r="R11" s="96"/>
      <c r="S11" s="96"/>
      <c r="T11" s="93">
        <v>4</v>
      </c>
      <c r="U11" s="94" t="s">
        <v>77</v>
      </c>
      <c r="V11" s="97" t="s">
        <v>78</v>
      </c>
    </row>
    <row r="12" ht="27.95" customHeight="1" spans="1:22">
      <c r="A12" s="33">
        <f t="shared" si="0"/>
        <v>6</v>
      </c>
      <c r="B12" s="42" t="s">
        <v>79</v>
      </c>
      <c r="C12" s="32" t="s">
        <v>80</v>
      </c>
      <c r="D12" s="34" t="s">
        <v>81</v>
      </c>
      <c r="E12" s="35"/>
      <c r="F12" s="36"/>
      <c r="G12" s="32" t="s">
        <v>44</v>
      </c>
      <c r="H12" s="43" t="s">
        <v>82</v>
      </c>
      <c r="I12" s="43"/>
      <c r="J12" s="64"/>
      <c r="K12" s="41">
        <v>1</v>
      </c>
      <c r="L12" s="70" t="s">
        <v>82</v>
      </c>
      <c r="M12" s="41"/>
      <c r="N12" s="65">
        <v>1</v>
      </c>
      <c r="O12" s="66">
        <f>(L5+M5+N5+O5)/N12</f>
        <v>32501</v>
      </c>
      <c r="P12" s="67">
        <v>400</v>
      </c>
      <c r="Q12" s="83">
        <f t="shared" si="1"/>
        <v>32901</v>
      </c>
      <c r="R12" s="98"/>
      <c r="S12" s="99"/>
      <c r="T12" s="93">
        <v>1</v>
      </c>
      <c r="U12" s="100" t="s">
        <v>83</v>
      </c>
      <c r="V12" s="101" t="s">
        <v>84</v>
      </c>
    </row>
    <row r="13" ht="27.95" customHeight="1" spans="1:22">
      <c r="A13" s="33">
        <f t="shared" si="0"/>
        <v>7</v>
      </c>
      <c r="B13" s="42" t="s">
        <v>85</v>
      </c>
      <c r="C13" s="32" t="s">
        <v>51</v>
      </c>
      <c r="D13" s="34" t="s">
        <v>86</v>
      </c>
      <c r="E13" s="35"/>
      <c r="F13" s="36"/>
      <c r="G13" s="32"/>
      <c r="H13" s="43"/>
      <c r="I13" s="43"/>
      <c r="J13" s="64"/>
      <c r="K13" s="41"/>
      <c r="L13" s="70"/>
      <c r="M13" s="41"/>
      <c r="N13" s="65"/>
      <c r="O13" s="66" t="e">
        <f>(L5+M5+N5+O5)/N13</f>
        <v>#DIV/0!</v>
      </c>
      <c r="P13" s="67"/>
      <c r="Q13" s="83" t="e">
        <f t="shared" si="1"/>
        <v>#DIV/0!</v>
      </c>
      <c r="R13" s="102"/>
      <c r="S13" s="103"/>
      <c r="T13" s="93"/>
      <c r="U13" s="100"/>
      <c r="V13" s="101"/>
    </row>
    <row r="14" ht="27.95" customHeight="1" spans="1:22">
      <c r="A14" s="33">
        <f t="shared" si="0"/>
        <v>8</v>
      </c>
      <c r="B14" s="44"/>
      <c r="C14" s="32"/>
      <c r="D14" s="34"/>
      <c r="E14" s="35"/>
      <c r="F14" s="36"/>
      <c r="G14" s="32"/>
      <c r="H14" s="43"/>
      <c r="I14" s="43"/>
      <c r="J14" s="64"/>
      <c r="K14" s="41"/>
      <c r="L14" s="70"/>
      <c r="M14" s="41"/>
      <c r="N14" s="65"/>
      <c r="O14" s="66" t="e">
        <f>(L5+M5+N5+O5)/N13</f>
        <v>#DIV/0!</v>
      </c>
      <c r="P14" s="67"/>
      <c r="Q14" s="83" t="e">
        <f t="shared" si="1"/>
        <v>#DIV/0!</v>
      </c>
      <c r="R14" s="102"/>
      <c r="S14" s="103"/>
      <c r="T14" s="93"/>
      <c r="U14" s="100"/>
      <c r="V14" s="104"/>
    </row>
    <row r="15" ht="27.95" customHeight="1" spans="1:22">
      <c r="A15" s="33">
        <f t="shared" si="0"/>
        <v>9</v>
      </c>
      <c r="B15" s="45"/>
      <c r="C15" s="32"/>
      <c r="D15" s="46"/>
      <c r="E15" s="47"/>
      <c r="F15" s="47"/>
      <c r="G15" s="48"/>
      <c r="H15" s="43"/>
      <c r="I15" s="43"/>
      <c r="J15" s="64"/>
      <c r="K15" s="65"/>
      <c r="L15" s="68"/>
      <c r="M15" s="65"/>
      <c r="N15" s="65"/>
      <c r="O15" s="66" t="e">
        <f>(L5+M5+N5+O5)/N15</f>
        <v>#DIV/0!</v>
      </c>
      <c r="P15" s="67"/>
      <c r="Q15" s="83" t="e">
        <f t="shared" si="1"/>
        <v>#DIV/0!</v>
      </c>
      <c r="R15" s="102"/>
      <c r="S15" s="103"/>
      <c r="T15" s="86"/>
      <c r="U15" s="100"/>
      <c r="V15" s="101"/>
    </row>
    <row r="16" ht="27.95" customHeight="1" spans="1:22">
      <c r="A16" s="33">
        <f t="shared" si="0"/>
        <v>10</v>
      </c>
      <c r="B16" s="45"/>
      <c r="C16" s="32" t="s">
        <v>51</v>
      </c>
      <c r="D16" s="49"/>
      <c r="E16" s="49"/>
      <c r="F16" s="49"/>
      <c r="G16" s="45"/>
      <c r="H16" s="50"/>
      <c r="I16" s="50"/>
      <c r="J16" s="64" t="s">
        <v>87</v>
      </c>
      <c r="K16" s="65"/>
      <c r="L16" s="68"/>
      <c r="M16" s="65"/>
      <c r="N16" s="65"/>
      <c r="O16" s="66" t="e">
        <f>(L5+M5+N5+O5)/N16</f>
        <v>#DIV/0!</v>
      </c>
      <c r="P16" s="67"/>
      <c r="Q16" s="83" t="e">
        <f t="shared" si="1"/>
        <v>#DIV/0!</v>
      </c>
      <c r="R16" s="105"/>
      <c r="S16" s="105"/>
      <c r="T16" s="86"/>
      <c r="U16" s="106"/>
      <c r="V16" s="107" t="s">
        <v>88</v>
      </c>
    </row>
    <row r="17" ht="36" customHeight="1" spans="1:22">
      <c r="A17" s="51" t="s">
        <v>89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108"/>
      <c r="T17" s="109"/>
      <c r="U17" s="110"/>
      <c r="V17" s="111"/>
    </row>
    <row r="18" ht="30" customHeight="1" spans="1:21">
      <c r="A18" s="53" t="s">
        <v>90</v>
      </c>
      <c r="B18" s="54"/>
      <c r="C18" s="54"/>
      <c r="D18" s="54"/>
      <c r="E18" s="54"/>
      <c r="F18" s="54"/>
      <c r="G18" s="55"/>
      <c r="H18" s="55"/>
      <c r="I18" s="55"/>
      <c r="J18" s="55"/>
      <c r="K18" s="55"/>
      <c r="L18" s="75" t="s">
        <v>91</v>
      </c>
      <c r="M18" s="75"/>
      <c r="N18" s="75"/>
      <c r="O18" s="75"/>
      <c r="P18" s="75"/>
      <c r="Q18" s="75"/>
      <c r="R18" s="75"/>
      <c r="S18" s="75"/>
      <c r="T18" s="76"/>
      <c r="U18" s="110"/>
    </row>
    <row r="19" ht="36.75" customHeight="1"/>
    <row r="20" ht="39" customHeight="1" spans="1:20">
      <c r="A20" s="56" t="s">
        <v>92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</row>
    <row r="21" ht="69.75" customHeight="1"/>
    <row r="22" ht="72" customHeight="1"/>
    <row r="23" ht="71.25" customHeight="1"/>
    <row r="24" ht="21" customHeight="1"/>
    <row r="25" ht="16.5" customHeight="1"/>
    <row r="26" ht="16.5" customHeight="1"/>
    <row r="27" ht="26.25" customHeight="1"/>
    <row r="28" ht="25.5" customHeight="1"/>
    <row r="29" ht="26.25" customHeight="1"/>
    <row r="30" ht="25.5" customHeight="1"/>
    <row r="31" ht="25.5" customHeight="1"/>
    <row r="32" ht="27" customHeight="1"/>
    <row r="33" ht="18" customHeight="1"/>
    <row r="34" ht="17.25" customHeight="1"/>
    <row r="35" ht="27" customHeight="1"/>
    <row r="36" ht="20.25" customHeight="1"/>
    <row r="37" ht="21" customHeight="1"/>
    <row r="38" ht="24" customHeight="1"/>
    <row r="39" ht="24.75" customHeight="1"/>
    <row r="40" ht="15.75" customHeight="1"/>
    <row r="41" ht="25.5" customHeight="1"/>
    <row r="42" ht="26.25" customHeight="1"/>
    <row r="43" ht="15.75" customHeight="1"/>
    <row r="44" ht="26.25" customHeight="1"/>
    <row r="45" ht="50.25" customHeight="1"/>
    <row r="46" ht="18" customHeight="1"/>
    <row r="47" ht="18.75" customHeight="1"/>
    <row r="48" ht="159.75" customHeight="1"/>
    <row r="49" ht="36" customHeight="1"/>
    <row r="50" ht="20.25" customHeight="1"/>
    <row r="53" ht="26.25" customHeight="1"/>
    <row r="54" ht="25.5" customHeight="1"/>
    <row r="55" ht="24" customHeight="1"/>
    <row r="56" ht="24" customHeight="1"/>
    <row r="57" ht="24" customHeight="1"/>
    <row r="58" ht="25.5" customHeight="1"/>
    <row r="59" ht="25.5" customHeight="1"/>
    <row r="60" ht="26.25" customHeight="1"/>
  </sheetData>
  <mergeCells count="65">
    <mergeCell ref="A1:S1"/>
    <mergeCell ref="A2:S2"/>
    <mergeCell ref="A3:B3"/>
    <mergeCell ref="E3:F3"/>
    <mergeCell ref="G3:H3"/>
    <mergeCell ref="I3:L3"/>
    <mergeCell ref="M3:N3"/>
    <mergeCell ref="O3:S3"/>
    <mergeCell ref="D4:G4"/>
    <mergeCell ref="H4:K4"/>
    <mergeCell ref="P4:Q4"/>
    <mergeCell ref="R4:S4"/>
    <mergeCell ref="D5:G5"/>
    <mergeCell ref="H5:K5"/>
    <mergeCell ref="P5:Q5"/>
    <mergeCell ref="R5:S5"/>
    <mergeCell ref="D6:F6"/>
    <mergeCell ref="H6:I6"/>
    <mergeCell ref="L6:M6"/>
    <mergeCell ref="R6:S6"/>
    <mergeCell ref="D7:F7"/>
    <mergeCell ref="H7:I7"/>
    <mergeCell ref="L7:M7"/>
    <mergeCell ref="R7:S7"/>
    <mergeCell ref="D8:F8"/>
    <mergeCell ref="H8:I8"/>
    <mergeCell ref="L8:M8"/>
    <mergeCell ref="R8:S8"/>
    <mergeCell ref="D9:F9"/>
    <mergeCell ref="H9:I9"/>
    <mergeCell ref="L9:M9"/>
    <mergeCell ref="R9:S9"/>
    <mergeCell ref="D10:F10"/>
    <mergeCell ref="H10:I10"/>
    <mergeCell ref="L10:M10"/>
    <mergeCell ref="R10:S10"/>
    <mergeCell ref="D11:F11"/>
    <mergeCell ref="H11:I11"/>
    <mergeCell ref="L11:M11"/>
    <mergeCell ref="R11:S11"/>
    <mergeCell ref="D12:F12"/>
    <mergeCell ref="H12:I12"/>
    <mergeCell ref="L12:M12"/>
    <mergeCell ref="R12:S12"/>
    <mergeCell ref="D13:F13"/>
    <mergeCell ref="H13:I13"/>
    <mergeCell ref="L13:M13"/>
    <mergeCell ref="R13:S13"/>
    <mergeCell ref="D14:F14"/>
    <mergeCell ref="H14:I14"/>
    <mergeCell ref="L14:M14"/>
    <mergeCell ref="R14:S14"/>
    <mergeCell ref="D15:F15"/>
    <mergeCell ref="H15:I15"/>
    <mergeCell ref="L15:M15"/>
    <mergeCell ref="R15:S15"/>
    <mergeCell ref="D16:F16"/>
    <mergeCell ref="H16:I16"/>
    <mergeCell ref="L16:M16"/>
    <mergeCell ref="R16:S16"/>
    <mergeCell ref="A17:S17"/>
    <mergeCell ref="A18:F18"/>
    <mergeCell ref="G18:K18"/>
    <mergeCell ref="L18:S18"/>
    <mergeCell ref="A20:T20"/>
  </mergeCells>
  <dataValidations count="1">
    <dataValidation allowBlank="1" showInputMessage="1" showErrorMessage="1" sqref="C3:E3 I3:K3"/>
  </dataValidations>
  <pageMargins left="0.700694444444444" right="0.700694444444444" top="0.751388888888889" bottom="0.751388888888889" header="0.298611111111111" footer="0.298611111111111"/>
  <pageSetup paperSize="9" scale="62" orientation="landscape" verticalDpi="180"/>
  <headerFooter/>
  <drawing r:id="rId1"/>
  <legacyDrawing r:id="rId2"/>
  <oleObjects>
    <mc:AlternateContent xmlns:mc="http://schemas.openxmlformats.org/markup-compatibility/2006">
      <mc:Choice Requires="x14">
        <oleObject shapeId="1031" progId="Package" r:id="rId3" dvAspect="DVASPECT_ICON">
          <objectPr defaultSize="0" r:id="rId4">
            <anchor moveWithCells="1">
              <from>
                <xdr:col>21</xdr:col>
                <xdr:colOff>381000</xdr:colOff>
                <xdr:row>16</xdr:row>
                <xdr:rowOff>6985</xdr:rowOff>
              </from>
              <to>
                <xdr:col>21</xdr:col>
                <xdr:colOff>1304925</xdr:colOff>
                <xdr:row>18</xdr:row>
                <xdr:rowOff>6985</xdr:rowOff>
              </to>
            </anchor>
          </objectPr>
        </oleObject>
      </mc:Choice>
      <mc:Fallback>
        <oleObject shapeId="1031" progId="Package" r:id="rId3" dvAspect="DVASPECT_ICON"/>
      </mc:Fallback>
    </mc:AlternateContent>
    <mc:AlternateContent xmlns:mc="http://schemas.openxmlformats.org/markup-compatibility/2006">
      <mc:Choice Requires="x14">
        <oleObject shapeId="1032" progId="Package" r:id="rId5" dvAspect="DVASPECT_ICON">
          <objectPr defaultSize="0" r:id="rId6">
            <anchor moveWithCells="1">
              <from>
                <xdr:col>21</xdr:col>
                <xdr:colOff>1323975</xdr:colOff>
                <xdr:row>16</xdr:row>
                <xdr:rowOff>6985</xdr:rowOff>
              </from>
              <to>
                <xdr:col>21</xdr:col>
                <xdr:colOff>2247900</xdr:colOff>
                <xdr:row>18</xdr:row>
                <xdr:rowOff>6985</xdr:rowOff>
              </to>
            </anchor>
          </objectPr>
        </oleObject>
      </mc:Choice>
      <mc:Fallback>
        <oleObject shapeId="1032" progId="Package" r:id="rId5" dvAspect="DVASPECT_ICON"/>
      </mc:Fallback>
    </mc:AlternateContent>
    <mc:AlternateContent xmlns:mc="http://schemas.openxmlformats.org/markup-compatibility/2006">
      <mc:Choice Requires="x14">
        <oleObject shapeId="1033" progId="Package" r:id="rId7" dvAspect="DVASPECT_ICON">
          <objectPr defaultSize="0" r:id="rId8">
            <anchor moveWithCells="1">
              <from>
                <xdr:col>21</xdr:col>
                <xdr:colOff>2257425</xdr:colOff>
                <xdr:row>15</xdr:row>
                <xdr:rowOff>352425</xdr:rowOff>
              </from>
              <to>
                <xdr:col>21</xdr:col>
                <xdr:colOff>3181350</xdr:colOff>
                <xdr:row>17</xdr:row>
                <xdr:rowOff>378460</xdr:rowOff>
              </to>
            </anchor>
          </objectPr>
        </oleObject>
      </mc:Choice>
      <mc:Fallback>
        <oleObject shapeId="1033" progId="Package" r:id="rId7" dvAspect="DVASPECT_ICON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G20" sqref="G20"/>
    </sheetView>
  </sheetViews>
  <sheetFormatPr defaultColWidth="9" defaultRowHeight="13.5" outlineLevelCol="7"/>
  <cols>
    <col min="1" max="1" width="13.25" customWidth="1"/>
    <col min="2" max="2" width="44.75" customWidth="1"/>
    <col min="3" max="3" width="10" customWidth="1"/>
    <col min="5" max="5" width="8.75" customWidth="1"/>
    <col min="6" max="6" width="12.375" hidden="1" customWidth="1"/>
    <col min="7" max="7" width="13.75" customWidth="1"/>
    <col min="8" max="8" width="15.125" customWidth="1"/>
  </cols>
  <sheetData>
    <row r="1" ht="30.95" customHeight="1" spans="1:8">
      <c r="A1" s="1" t="s">
        <v>93</v>
      </c>
      <c r="B1" s="2"/>
      <c r="C1" s="2"/>
      <c r="D1" s="2"/>
      <c r="E1" s="2"/>
      <c r="F1" s="2"/>
      <c r="G1" s="2"/>
      <c r="H1" s="2"/>
    </row>
    <row r="2" ht="27" customHeight="1" spans="1:8">
      <c r="A2" s="3" t="s">
        <v>94</v>
      </c>
      <c r="B2" s="4" t="s">
        <v>95</v>
      </c>
      <c r="C2" s="4" t="s">
        <v>96</v>
      </c>
      <c r="D2" s="4" t="s">
        <v>97</v>
      </c>
      <c r="E2" s="4" t="s">
        <v>98</v>
      </c>
      <c r="F2" s="4" t="s">
        <v>99</v>
      </c>
      <c r="G2" s="4" t="s">
        <v>100</v>
      </c>
      <c r="H2" s="5" t="s">
        <v>101</v>
      </c>
    </row>
    <row r="3" ht="20.1" customHeight="1" spans="1:8">
      <c r="A3" s="6" t="str">
        <f>印刷工程单!C5</f>
        <v>903B23574</v>
      </c>
      <c r="B3" s="7" t="str">
        <f>印刷工程单!D5</f>
        <v>903B23574-S_AM-绿女巫塔罗牌(美书盒套装)V8</v>
      </c>
      <c r="C3" s="7">
        <f>印刷工程单!L5+印刷工程单!M5+印刷工程单!N5</f>
        <v>31501</v>
      </c>
      <c r="D3" s="8"/>
      <c r="E3" s="9" t="s">
        <v>102</v>
      </c>
      <c r="F3" s="10">
        <f ca="1" t="shared" ref="F3:F20" si="0">TODAY()</f>
        <v>46011</v>
      </c>
      <c r="G3" s="11"/>
      <c r="H3" s="12" t="str">
        <f ca="1">IF(G3-F3&lt;=2,"到期追回","")</f>
        <v>到期追回</v>
      </c>
    </row>
    <row r="4" ht="20.1" customHeight="1" spans="1:8">
      <c r="A4" s="6"/>
      <c r="B4" s="7"/>
      <c r="C4" s="7"/>
      <c r="D4" s="8"/>
      <c r="E4" s="9" t="s">
        <v>103</v>
      </c>
      <c r="F4" s="10">
        <f ca="1" t="shared" si="0"/>
        <v>46011</v>
      </c>
      <c r="G4" s="11"/>
      <c r="H4" s="12" t="str">
        <f ca="1" t="shared" ref="H4:H20" si="1">IF(G4-F4&lt;=2,"到期追回","")</f>
        <v>到期追回</v>
      </c>
    </row>
    <row r="5" ht="20.1" customHeight="1" spans="1:8">
      <c r="A5" s="6"/>
      <c r="B5" s="7"/>
      <c r="C5" s="7"/>
      <c r="D5" s="8"/>
      <c r="E5" s="9" t="s">
        <v>104</v>
      </c>
      <c r="F5" s="10">
        <f ca="1" t="shared" si="0"/>
        <v>46011</v>
      </c>
      <c r="G5" s="11"/>
      <c r="H5" s="12" t="str">
        <f ca="1" t="shared" si="1"/>
        <v>到期追回</v>
      </c>
    </row>
    <row r="6" ht="20.1" customHeight="1" spans="1:8">
      <c r="A6" s="6"/>
      <c r="B6" s="7"/>
      <c r="C6" s="7"/>
      <c r="D6" s="8"/>
      <c r="E6" s="9" t="s">
        <v>105</v>
      </c>
      <c r="F6" s="10">
        <f ca="1" t="shared" si="0"/>
        <v>46011</v>
      </c>
      <c r="G6" s="11"/>
      <c r="H6" s="12" t="str">
        <f ca="1" t="shared" si="1"/>
        <v>到期追回</v>
      </c>
    </row>
    <row r="7" ht="20.1" customHeight="1" spans="1:8">
      <c r="A7" s="6"/>
      <c r="B7" s="7"/>
      <c r="C7" s="7"/>
      <c r="D7" s="8"/>
      <c r="E7" s="9" t="s">
        <v>106</v>
      </c>
      <c r="F7" s="10">
        <f ca="1" t="shared" si="0"/>
        <v>46011</v>
      </c>
      <c r="G7" s="11"/>
      <c r="H7" s="12" t="str">
        <f ca="1" t="shared" si="1"/>
        <v>到期追回</v>
      </c>
    </row>
    <row r="8" ht="20.1" customHeight="1" spans="1:8">
      <c r="A8" s="6"/>
      <c r="B8" s="7"/>
      <c r="C8" s="7"/>
      <c r="D8" s="8"/>
      <c r="E8" s="9" t="s">
        <v>107</v>
      </c>
      <c r="F8" s="10">
        <f ca="1" t="shared" si="0"/>
        <v>46011</v>
      </c>
      <c r="G8" s="11"/>
      <c r="H8" s="12" t="str">
        <f ca="1" t="shared" si="1"/>
        <v>到期追回</v>
      </c>
    </row>
    <row r="9" ht="20.1" customHeight="1" spans="1:8">
      <c r="A9" s="6"/>
      <c r="B9" s="7"/>
      <c r="C9" s="7"/>
      <c r="D9" s="8"/>
      <c r="E9" s="9" t="s">
        <v>108</v>
      </c>
      <c r="F9" s="10">
        <f ca="1" t="shared" si="0"/>
        <v>46011</v>
      </c>
      <c r="G9" s="11"/>
      <c r="H9" s="12" t="str">
        <f ca="1" t="shared" si="1"/>
        <v>到期追回</v>
      </c>
    </row>
    <row r="10" ht="20.1" customHeight="1" spans="1:8">
      <c r="A10" s="6"/>
      <c r="B10" s="7"/>
      <c r="C10" s="7"/>
      <c r="D10" s="8"/>
      <c r="E10" s="9" t="s">
        <v>109</v>
      </c>
      <c r="F10" s="10">
        <f ca="1" t="shared" si="0"/>
        <v>46011</v>
      </c>
      <c r="G10" s="11"/>
      <c r="H10" s="12" t="str">
        <f ca="1" t="shared" si="1"/>
        <v>到期追回</v>
      </c>
    </row>
    <row r="11" ht="20.1" customHeight="1" spans="1:8">
      <c r="A11" s="6"/>
      <c r="B11" s="7"/>
      <c r="C11" s="7"/>
      <c r="D11" s="8"/>
      <c r="E11" s="9" t="s">
        <v>110</v>
      </c>
      <c r="F11" s="10">
        <f ca="1" t="shared" si="0"/>
        <v>46011</v>
      </c>
      <c r="G11" s="11"/>
      <c r="H11" s="12" t="str">
        <f ca="1" t="shared" si="1"/>
        <v>到期追回</v>
      </c>
    </row>
    <row r="12" ht="20.1" customHeight="1" spans="1:8">
      <c r="A12" s="6"/>
      <c r="B12" s="7"/>
      <c r="C12" s="7"/>
      <c r="D12" s="8"/>
      <c r="E12" s="9" t="s">
        <v>111</v>
      </c>
      <c r="F12" s="10">
        <f ca="1" t="shared" si="0"/>
        <v>46011</v>
      </c>
      <c r="G12" s="11"/>
      <c r="H12" s="12" t="str">
        <f ca="1" t="shared" si="1"/>
        <v>到期追回</v>
      </c>
    </row>
    <row r="13" ht="20.1" customHeight="1" spans="1:8">
      <c r="A13" s="6"/>
      <c r="B13" s="7"/>
      <c r="C13" s="7"/>
      <c r="D13" s="8"/>
      <c r="E13" s="9" t="s">
        <v>112</v>
      </c>
      <c r="F13" s="10">
        <f ca="1" t="shared" si="0"/>
        <v>46011</v>
      </c>
      <c r="G13" s="11"/>
      <c r="H13" s="12" t="str">
        <f ca="1" t="shared" si="1"/>
        <v>到期追回</v>
      </c>
    </row>
    <row r="14" ht="20.1" customHeight="1" spans="1:8">
      <c r="A14" s="6"/>
      <c r="B14" s="7"/>
      <c r="C14" s="7"/>
      <c r="D14" s="8"/>
      <c r="E14" s="9" t="s">
        <v>113</v>
      </c>
      <c r="F14" s="10">
        <f ca="1" t="shared" si="0"/>
        <v>46011</v>
      </c>
      <c r="G14" s="11"/>
      <c r="H14" s="12" t="str">
        <f ca="1" t="shared" si="1"/>
        <v>到期追回</v>
      </c>
    </row>
    <row r="15" ht="20.1" customHeight="1" spans="1:8">
      <c r="A15" s="6"/>
      <c r="B15" s="7"/>
      <c r="C15" s="7"/>
      <c r="D15" s="8"/>
      <c r="E15" s="13" t="s">
        <v>114</v>
      </c>
      <c r="F15" s="10">
        <f ca="1" t="shared" si="0"/>
        <v>46011</v>
      </c>
      <c r="G15" s="11"/>
      <c r="H15" s="12" t="str">
        <f ca="1" t="shared" si="1"/>
        <v>到期追回</v>
      </c>
    </row>
    <row r="16" ht="20.1" customHeight="1" spans="1:8">
      <c r="A16" s="6"/>
      <c r="B16" s="7"/>
      <c r="C16" s="7"/>
      <c r="D16" s="8"/>
      <c r="E16" s="9" t="s">
        <v>115</v>
      </c>
      <c r="F16" s="10">
        <f ca="1" t="shared" si="0"/>
        <v>46011</v>
      </c>
      <c r="G16" s="11"/>
      <c r="H16" s="12" t="str">
        <f ca="1" t="shared" si="1"/>
        <v>到期追回</v>
      </c>
    </row>
    <row r="17" ht="20.1" customHeight="1" spans="1:8">
      <c r="A17" s="6"/>
      <c r="B17" s="7"/>
      <c r="C17" s="7"/>
      <c r="D17" s="8"/>
      <c r="E17" s="9" t="s">
        <v>116</v>
      </c>
      <c r="F17" s="10">
        <f ca="1" t="shared" si="0"/>
        <v>46011</v>
      </c>
      <c r="G17" s="11"/>
      <c r="H17" s="12" t="str">
        <f ca="1" t="shared" si="1"/>
        <v>到期追回</v>
      </c>
    </row>
    <row r="18" ht="20.1" customHeight="1" spans="1:8">
      <c r="A18" s="6"/>
      <c r="B18" s="7"/>
      <c r="C18" s="7"/>
      <c r="D18" s="8"/>
      <c r="E18" s="14" t="s">
        <v>117</v>
      </c>
      <c r="F18" s="10">
        <f ca="1" t="shared" si="0"/>
        <v>46011</v>
      </c>
      <c r="G18" s="11"/>
      <c r="H18" s="12" t="str">
        <f ca="1" t="shared" si="1"/>
        <v>到期追回</v>
      </c>
    </row>
    <row r="19" ht="20.1" customHeight="1" spans="1:8">
      <c r="A19" s="6"/>
      <c r="B19" s="7"/>
      <c r="C19" s="7"/>
      <c r="D19" s="8"/>
      <c r="E19" s="9" t="s">
        <v>118</v>
      </c>
      <c r="F19" s="10">
        <f ca="1" t="shared" si="0"/>
        <v>46011</v>
      </c>
      <c r="G19" s="11"/>
      <c r="H19" s="12" t="str">
        <f ca="1" t="shared" si="1"/>
        <v>到期追回</v>
      </c>
    </row>
    <row r="20" ht="26.1" customHeight="1" spans="1:8">
      <c r="A20" s="6"/>
      <c r="B20" s="7"/>
      <c r="C20" s="7"/>
      <c r="D20" s="15" t="s">
        <v>119</v>
      </c>
      <c r="E20" s="16"/>
      <c r="F20" s="10">
        <f ca="1" t="shared" si="0"/>
        <v>46011</v>
      </c>
      <c r="G20" s="11"/>
      <c r="H20" s="12" t="str">
        <f ca="1" t="shared" si="1"/>
        <v>到期追回</v>
      </c>
    </row>
  </sheetData>
  <sheetProtection password="CC1D" sheet="1" objects="1"/>
  <mergeCells count="2">
    <mergeCell ref="A1:H1"/>
    <mergeCell ref="D20:E20"/>
  </mergeCells>
  <conditionalFormatting sqref="G3:G20">
    <cfRule type="expression" dxfId="0" priority="1">
      <formula>G3-F3&lt;=1</formula>
    </cfRule>
  </conditionalFormatting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印刷工程单</vt:lpstr>
      <vt:lpstr>外发跟进限时表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WPS_1627401714</cp:lastModifiedBy>
  <dcterms:created xsi:type="dcterms:W3CDTF">2008-09-11T17:22:00Z</dcterms:created>
  <cp:lastPrinted>2021-07-05T12:01:00Z</cp:lastPrinted>
  <dcterms:modified xsi:type="dcterms:W3CDTF">2025-12-20T08:33:48Z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290F182F814A4176B78FC4581CE18224_13</vt:lpwstr>
  </property>
</Properties>
</file>